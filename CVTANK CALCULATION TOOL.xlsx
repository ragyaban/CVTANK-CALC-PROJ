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ydrobey-my.sharepoint.com/personal/atabeysemih_hydrobey_com/Documents/PROJECTS/CVTANK CALC PROJ/"/>
    </mc:Choice>
  </mc:AlternateContent>
  <xr:revisionPtr revIDLastSave="504" documentId="8_{9DDAA08C-0995-490B-AA32-530AE0CE2F42}" xr6:coauthVersionLast="47" xr6:coauthVersionMax="47" xr10:uidLastSave="{92C35CCF-14C8-415C-8AFE-305616587BF7}"/>
  <bookViews>
    <workbookView xWindow="1440" yWindow="0" windowWidth="17535" windowHeight="15585" activeTab="1" xr2:uid="{88959F53-1FD3-4753-8443-587DB016A78B}"/>
  </bookViews>
  <sheets>
    <sheet name="Metric" sheetId="1" r:id="rId1"/>
    <sheet name="Configuration" sheetId="4" r:id="rId2"/>
    <sheet name="Lists" sheetId="5" r:id="rId3"/>
    <sheet name="Catalog" sheetId="3" r:id="rId4"/>
  </sheets>
  <definedNames>
    <definedName name="BSPP">Lists!$B$2:$B$6</definedName>
    <definedName name="CVTANK_15">#REF!</definedName>
    <definedName name="CVTANK_25">#REF!</definedName>
    <definedName name="CVTANK_26">#REF!</definedName>
    <definedName name="CVTANK_67">#REF!</definedName>
    <definedName name="METRIC">Lists!$C$2:$C$10</definedName>
    <definedName name="SAE">Lists!$A$2:$A$6</definedName>
    <definedName name="TOTAL_V_DIFF">Metric!$J$16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D23" i="1"/>
  <c r="C23" i="1"/>
  <c r="B23" i="1"/>
  <c r="C5" i="1"/>
  <c r="C7" i="1" s="1"/>
  <c r="D5" i="1"/>
  <c r="D7" i="1" s="1"/>
  <c r="E5" i="1"/>
  <c r="E7" i="1" s="1"/>
  <c r="F5" i="1"/>
  <c r="F7" i="1" s="1"/>
  <c r="G5" i="1"/>
  <c r="G7" i="1" s="1"/>
  <c r="H5" i="1"/>
  <c r="H7" i="1" s="1"/>
  <c r="I5" i="1"/>
  <c r="I7" i="1" s="1"/>
  <c r="C8" i="1"/>
  <c r="D8" i="1"/>
  <c r="E8" i="1"/>
  <c r="F8" i="1"/>
  <c r="G8" i="1"/>
  <c r="H8" i="1"/>
  <c r="I8" i="1"/>
  <c r="B8" i="1"/>
  <c r="B5" i="1"/>
  <c r="J12" i="1"/>
  <c r="J11" i="1"/>
  <c r="J23" i="1" l="1"/>
  <c r="J8" i="1"/>
  <c r="B14" i="1" s="1"/>
  <c r="B7" i="1"/>
  <c r="J7" i="1" s="1"/>
  <c r="B15" i="1" l="1"/>
  <c r="J1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<sst xmlns="http://schemas.openxmlformats.org/spreadsheetml/2006/main" count="126" uniqueCount="100">
  <si>
    <t>Cylinder 1</t>
  </si>
  <si>
    <t>Cylinder 2</t>
  </si>
  <si>
    <t>Cylinder 3</t>
  </si>
  <si>
    <t>Cylinder 4</t>
  </si>
  <si>
    <t>Cylinder 5</t>
  </si>
  <si>
    <t>Cylinder 6</t>
  </si>
  <si>
    <t>Cylinder 7</t>
  </si>
  <si>
    <t>Cylinder 8</t>
  </si>
  <si>
    <t>ACC1</t>
  </si>
  <si>
    <t>ACC2</t>
  </si>
  <si>
    <t>ACC3</t>
  </si>
  <si>
    <t>ACC4</t>
  </si>
  <si>
    <t>ACC5</t>
  </si>
  <si>
    <t>ACC6</t>
  </si>
  <si>
    <t>ACC7</t>
  </si>
  <si>
    <t>ACC8</t>
  </si>
  <si>
    <t>Rated_V (lt)</t>
  </si>
  <si>
    <t>Fill_V (lt)</t>
  </si>
  <si>
    <t>Fill volume (lt)</t>
  </si>
  <si>
    <t>Exp.Vol (lt)</t>
  </si>
  <si>
    <t>CVTANK-2.7</t>
  </si>
  <si>
    <t>CVTANK-6.7</t>
  </si>
  <si>
    <t>CVTANK-4.6 HP</t>
  </si>
  <si>
    <t>CVTANK-15</t>
  </si>
  <si>
    <t>CVTANK-26</t>
  </si>
  <si>
    <t>2,5</t>
  </si>
  <si>
    <t>6,7</t>
  </si>
  <si>
    <t>4,5</t>
  </si>
  <si>
    <t>26,1</t>
  </si>
  <si>
    <t>TOTAL V (lt)</t>
  </si>
  <si>
    <t>COMING SOON</t>
  </si>
  <si>
    <t>Empty Weight (lbs)</t>
  </si>
  <si>
    <t>Max Allowable Volume expansion (lt)</t>
  </si>
  <si>
    <t>Regulating Pressure (bar)</t>
  </si>
  <si>
    <t>0 – 0,8</t>
  </si>
  <si>
    <t>0 – 2,5</t>
  </si>
  <si>
    <t>0 – 1,15</t>
  </si>
  <si>
    <t>0 – 0,7</t>
  </si>
  <si>
    <t>Ambient Temperature</t>
  </si>
  <si>
    <t>-40°C - 100°C</t>
  </si>
  <si>
    <t>Max Allowable oil Temp</t>
  </si>
  <si>
    <t>-30°C - 90°C</t>
  </si>
  <si>
    <t>Burst Pressure (bar)</t>
  </si>
  <si>
    <t>Vibration resistance</t>
  </si>
  <si>
    <t>AECTP 400 (Edition 3) ANNEX B 401</t>
  </si>
  <si>
    <t>Pressure Sensor</t>
  </si>
  <si>
    <t>Pressure switch</t>
  </si>
  <si>
    <t>Visual gauge</t>
  </si>
  <si>
    <t>Air bleeding valve</t>
  </si>
  <si>
    <t>TOP</t>
  </si>
  <si>
    <t>BOTTOM</t>
  </si>
  <si>
    <t>BSPP (ISO 1179-1 W)</t>
  </si>
  <si>
    <t>METRIC (ISO EN 9974-1)</t>
  </si>
  <si>
    <t>SAE (SAE J1926-1)</t>
  </si>
  <si>
    <t>G 1/8</t>
  </si>
  <si>
    <t>G 1/2</t>
  </si>
  <si>
    <t>G 3/4</t>
  </si>
  <si>
    <t>G 1</t>
  </si>
  <si>
    <t>M8 x 1.0</t>
  </si>
  <si>
    <t>M10 x 1.0</t>
  </si>
  <si>
    <t>M12 x 1.5</t>
  </si>
  <si>
    <t>M14 x 1.5</t>
  </si>
  <si>
    <t>M16 x 1.5</t>
  </si>
  <si>
    <t>M18 x 1.5</t>
  </si>
  <si>
    <t>M20 x 1.5</t>
  </si>
  <si>
    <t>M22 x 1.5</t>
  </si>
  <si>
    <t>M27 x 2.0</t>
  </si>
  <si>
    <t>VISUAL</t>
  </si>
  <si>
    <t>PRES_SW</t>
  </si>
  <si>
    <t>PRES_SENS</t>
  </si>
  <si>
    <t>AIR_BLEED</t>
  </si>
  <si>
    <t>with hose</t>
  </si>
  <si>
    <t>Valve Only</t>
  </si>
  <si>
    <t>Vol. Prov.</t>
  </si>
  <si>
    <t>Weight (lbs)</t>
  </si>
  <si>
    <t>Allowable Volume (lt)</t>
  </si>
  <si>
    <t>Press. (bar)</t>
  </si>
  <si>
    <t>Quantity</t>
  </si>
  <si>
    <t>STANDARD</t>
  </si>
  <si>
    <t>SIZE</t>
  </si>
  <si>
    <t>Ø ROD (mm)</t>
  </si>
  <si>
    <t>Ø BORE (mm)</t>
  </si>
  <si>
    <t>Ø STROKE (mm)</t>
  </si>
  <si>
    <t>ΔVol. (lt)</t>
  </si>
  <si>
    <r>
      <t>Total_</t>
    </r>
    <r>
      <rPr>
        <b/>
        <sz val="11"/>
        <color theme="1"/>
        <rFont val="Aptos Narrow"/>
        <family val="2"/>
      </rPr>
      <t>Δ</t>
    </r>
    <r>
      <rPr>
        <b/>
        <i/>
        <sz val="11"/>
        <color theme="1"/>
        <rFont val="Aptos Narrow"/>
        <family val="2"/>
        <scheme val="minor"/>
      </rPr>
      <t>Vol. (lt)</t>
    </r>
  </si>
  <si>
    <r>
      <t xml:space="preserve">TOTAL </t>
    </r>
    <r>
      <rPr>
        <b/>
        <sz val="12"/>
        <color theme="1"/>
        <rFont val="Aptos Narrow"/>
        <family val="2"/>
      </rPr>
      <t>Δ</t>
    </r>
    <r>
      <rPr>
        <b/>
        <i/>
        <sz val="9.6999999999999993"/>
        <color theme="1"/>
        <rFont val="Aptos Narrow"/>
        <family val="2"/>
      </rPr>
      <t>V required</t>
    </r>
    <r>
      <rPr>
        <b/>
        <i/>
        <sz val="12"/>
        <color theme="1"/>
        <rFont val="Aptos Narrow"/>
        <family val="2"/>
        <scheme val="minor"/>
      </rPr>
      <t xml:space="preserve"> :</t>
    </r>
  </si>
  <si>
    <r>
      <t xml:space="preserve">TOTAL </t>
    </r>
    <r>
      <rPr>
        <b/>
        <sz val="11"/>
        <color theme="1"/>
        <rFont val="Aptos Narrow"/>
        <family val="2"/>
      </rPr>
      <t>ΔV</t>
    </r>
    <r>
      <rPr>
        <b/>
        <sz val="11"/>
        <color theme="1"/>
        <rFont val="Aptos Narrow"/>
        <family val="2"/>
        <scheme val="minor"/>
      </rPr>
      <t xml:space="preserve"> Provided :</t>
    </r>
  </si>
  <si>
    <t>Test ports Nr</t>
  </si>
  <si>
    <t>Suction \ Return port Nr:</t>
  </si>
  <si>
    <t>Cyl Qty.</t>
  </si>
  <si>
    <t>CVTANK® Configurator: Filling Instructions</t>
  </si>
  <si>
    <r>
      <rPr>
        <sz val="10"/>
        <color theme="1"/>
        <rFont val="Aptos Narrow"/>
        <family val="2"/>
        <scheme val="minor"/>
      </rPr>
      <t xml:space="preserve">This form is designed to calculate the </t>
    </r>
    <r>
      <rPr>
        <b/>
        <sz val="10"/>
        <color theme="1"/>
        <rFont val="Aptos Narrow"/>
        <family val="2"/>
        <scheme val="minor"/>
      </rPr>
      <t>Peak Oil Volume Demand</t>
    </r>
    <r>
      <rPr>
        <sz val="10"/>
        <color theme="1"/>
        <rFont val="Aptos Narrow"/>
        <family val="2"/>
        <scheme val="minor"/>
      </rPr>
      <t xml:space="preserve"> to ensure optimal </t>
    </r>
    <r>
      <rPr>
        <b/>
        <sz val="10"/>
        <color theme="1"/>
        <rFont val="Aptos Narrow"/>
        <family val="2"/>
        <scheme val="minor"/>
      </rPr>
      <t>CVTANK®</t>
    </r>
    <r>
      <rPr>
        <sz val="10"/>
        <color theme="1"/>
        <rFont val="Aptos Narrow"/>
        <family val="2"/>
        <scheme val="minor"/>
      </rPr>
      <t xml:space="preserve"> sizing. Focus your data entry on the system's "worst-case scenario"—the specific operational moment when the maximum number of single-rod, double-acting cylinders are extended and/or accumulators are at full capacity.</t>
    </r>
  </si>
  <si>
    <r>
      <t xml:space="preserve">1-) </t>
    </r>
    <r>
      <rPr>
        <sz val="10"/>
        <color theme="1"/>
        <rFont val="Aptos Narrow"/>
        <family val="2"/>
        <scheme val="minor"/>
      </rPr>
      <t xml:space="preserve">In the cylinder columns, input the </t>
    </r>
    <r>
      <rPr>
        <b/>
        <sz val="10"/>
        <color theme="1"/>
        <rFont val="Aptos Narrow"/>
        <family val="2"/>
        <scheme val="minor"/>
      </rPr>
      <t>Bore Diameter</t>
    </r>
    <r>
      <rPr>
        <sz val="10"/>
        <color theme="1"/>
        <rFont val="Aptos Narrow"/>
        <family val="2"/>
        <scheme val="minor"/>
      </rPr>
      <t xml:space="preserve">, </t>
    </r>
    <r>
      <rPr>
        <b/>
        <sz val="10"/>
        <color theme="1"/>
        <rFont val="Aptos Narrow"/>
        <family val="2"/>
        <scheme val="minor"/>
      </rPr>
      <t>Rod Diameter</t>
    </r>
    <r>
      <rPr>
        <sz val="10"/>
        <color theme="1"/>
        <rFont val="Aptos Narrow"/>
        <family val="2"/>
        <scheme val="minor"/>
      </rPr>
      <t xml:space="preserve">, and the </t>
    </r>
    <r>
      <rPr>
        <b/>
        <sz val="10"/>
        <color theme="1"/>
        <rFont val="Aptos Narrow"/>
        <family val="2"/>
        <scheme val="minor"/>
      </rPr>
      <t>specific Stroke length</t>
    </r>
    <r>
      <rPr>
        <sz val="10"/>
        <color theme="1"/>
        <rFont val="Aptos Narrow"/>
        <family val="2"/>
        <scheme val="minor"/>
      </rPr>
      <t xml:space="preserve"> utilized during the peak extension phase of the scenario being analyzed.</t>
    </r>
  </si>
  <si>
    <r>
      <t xml:space="preserve">2-) </t>
    </r>
    <r>
      <rPr>
        <sz val="10"/>
        <color theme="1"/>
        <rFont val="Aptos Narrow"/>
        <family val="2"/>
        <scheme val="minor"/>
      </rPr>
      <t xml:space="preserve">For a complete system profile, include all cylinders in the table. If a cylinder is not active during your "peak demand" scenario, enter </t>
    </r>
    <r>
      <rPr>
        <b/>
        <sz val="10"/>
        <color theme="1"/>
        <rFont val="Aptos Narrow"/>
        <family val="2"/>
        <scheme val="minor"/>
      </rPr>
      <t>"0"</t>
    </r>
    <r>
      <rPr>
        <sz val="10"/>
        <color theme="1"/>
        <rFont val="Aptos Narrow"/>
        <family val="2"/>
        <scheme val="minor"/>
      </rPr>
      <t xml:space="preserve"> in the </t>
    </r>
    <r>
      <rPr>
        <b/>
        <sz val="10"/>
        <color theme="1"/>
        <rFont val="Aptos Narrow"/>
        <family val="2"/>
        <scheme val="minor"/>
      </rPr>
      <t>Quantity</t>
    </r>
    <r>
      <rPr>
        <sz val="10"/>
        <color theme="1"/>
        <rFont val="Aptos Narrow"/>
        <family val="2"/>
        <scheme val="minor"/>
      </rPr>
      <t xml:space="preserve"> column to exclude it from the current alculation without removing the component data.</t>
    </r>
  </si>
  <si>
    <r>
      <t xml:space="preserve">3-) </t>
    </r>
    <r>
      <rPr>
        <sz val="10"/>
        <color theme="1"/>
        <rFont val="Aptos Narrow"/>
        <family val="2"/>
        <scheme val="minor"/>
      </rPr>
      <t xml:space="preserve">Note that the </t>
    </r>
    <r>
      <rPr>
        <b/>
        <sz val="10"/>
        <color theme="1"/>
        <rFont val="Aptos Narrow"/>
        <family val="2"/>
        <scheme val="minor"/>
      </rPr>
      <t>Maximum Oil Fill Volume</t>
    </r>
    <r>
      <rPr>
        <sz val="10"/>
        <color theme="1"/>
        <rFont val="Aptos Narrow"/>
        <family val="2"/>
        <scheme val="minor"/>
      </rPr>
      <t xml:space="preserve"> is strictly less than the accumulator's rated capacity. If you require precise volume-to-pressure calculations, please consult the manufacturer or your </t>
    </r>
    <r>
      <rPr>
        <b/>
        <sz val="10"/>
        <color theme="1"/>
        <rFont val="Aptos Narrow"/>
        <family val="2"/>
        <scheme val="minor"/>
      </rPr>
      <t>CVTANK®</t>
    </r>
    <r>
      <rPr>
        <sz val="10"/>
        <color theme="1"/>
        <rFont val="Aptos Narrow"/>
        <family val="2"/>
        <scheme val="minor"/>
      </rPr>
      <t xml:space="preserve"> representative.</t>
    </r>
  </si>
  <si>
    <r>
      <t xml:space="preserve">4-) </t>
    </r>
    <r>
      <rPr>
        <sz val="10"/>
        <color theme="1"/>
        <rFont val="Aptos Narrow"/>
        <family val="2"/>
        <scheme val="minor"/>
      </rPr>
      <t xml:space="preserve">Provide the </t>
    </r>
    <r>
      <rPr>
        <b/>
        <sz val="10"/>
        <color theme="1"/>
        <rFont val="Aptos Narrow"/>
        <family val="2"/>
        <scheme val="minor"/>
      </rPr>
      <t>Estimated Total Hydraulic Oil Volume</t>
    </r>
    <r>
      <rPr>
        <sz val="10"/>
        <color theme="1"/>
        <rFont val="Aptos Narrow"/>
        <family val="2"/>
        <scheme val="minor"/>
      </rPr>
      <t xml:space="preserve"> required for the complete circuit, including lines and manifolds, when fully integrated with the </t>
    </r>
    <r>
      <rPr>
        <b/>
        <sz val="10"/>
        <color theme="1"/>
        <rFont val="Aptos Narrow"/>
        <family val="2"/>
        <scheme val="minor"/>
      </rPr>
      <t>CVTANK®</t>
    </r>
    <r>
      <rPr>
        <sz val="10"/>
        <color theme="1"/>
        <rFont val="Aptos Narrow"/>
        <family val="2"/>
        <scheme val="minor"/>
      </rPr>
      <t xml:space="preserve"> system.</t>
    </r>
  </si>
  <si>
    <t>G 1/4 *</t>
  </si>
  <si>
    <t>-4*</t>
  </si>
  <si>
    <t>SAE</t>
  </si>
  <si>
    <t>BSPP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</si>
</sst>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b/>
      <i/>
      <sz val="9.6999999999999993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rgb="FF7F7F7F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3F3F3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3F3F3F"/>
      </bottom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4" fillId="3" borderId="1" applyNumberFormat="0" applyAlignment="0" applyProtection="0"/>
    <xf numFmtId="0" fontId="5" fillId="0" borderId="3" applyNumberFormat="0" applyFill="0" applyAlignment="0" applyProtection="0"/>
    <xf numFmtId="0" fontId="1" fillId="4" borderId="4" applyNumberFormat="0" applyFont="0" applyAlignment="0" applyProtection="0"/>
  </cellStyleXfs>
  <cellXfs count="89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2" fontId="0" fillId="0" borderId="0" xfId="0" applyNumberFormat="1"/>
    <xf numFmtId="0" fontId="9" fillId="0" borderId="0" xfId="0" applyFont="1"/>
    <xf numFmtId="0" fontId="10" fillId="0" borderId="0" xfId="0" applyFont="1"/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1" fillId="0" borderId="0" xfId="0" applyFont="1"/>
    <xf numFmtId="0" fontId="0" fillId="0" borderId="9" xfId="0" applyBorder="1"/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vertical="top" wrapText="1"/>
    </xf>
    <xf numFmtId="0" fontId="11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7" xfId="0" applyBorder="1"/>
    <xf numFmtId="0" fontId="0" fillId="0" borderId="12" xfId="0" applyBorder="1"/>
    <xf numFmtId="0" fontId="0" fillId="0" borderId="10" xfId="0" applyBorder="1"/>
    <xf numFmtId="0" fontId="6" fillId="0" borderId="16" xfId="0" applyFont="1" applyBorder="1" applyAlignment="1">
      <alignment horizontal="center"/>
    </xf>
    <xf numFmtId="0" fontId="6" fillId="0" borderId="19" xfId="0" applyFont="1" applyBorder="1"/>
    <xf numFmtId="0" fontId="8" fillId="0" borderId="19" xfId="0" applyFont="1" applyBorder="1"/>
    <xf numFmtId="0" fontId="10" fillId="0" borderId="17" xfId="0" applyFont="1" applyBorder="1"/>
    <xf numFmtId="0" fontId="10" fillId="0" borderId="12" xfId="0" applyFont="1" applyBorder="1"/>
    <xf numFmtId="0" fontId="6" fillId="0" borderId="17" xfId="0" applyFont="1" applyBorder="1"/>
    <xf numFmtId="0" fontId="6" fillId="0" borderId="16" xfId="0" applyFont="1" applyBorder="1"/>
    <xf numFmtId="0" fontId="8" fillId="0" borderId="17" xfId="0" applyFont="1" applyBorder="1"/>
    <xf numFmtId="2" fontId="2" fillId="2" borderId="21" xfId="1" applyNumberFormat="1" applyBorder="1"/>
    <xf numFmtId="0" fontId="0" fillId="0" borderId="16" xfId="0" applyBorder="1"/>
    <xf numFmtId="0" fontId="0" fillId="0" borderId="18" xfId="0" applyBorder="1"/>
    <xf numFmtId="0" fontId="0" fillId="0" borderId="15" xfId="0" applyBorder="1"/>
    <xf numFmtId="0" fontId="0" fillId="0" borderId="19" xfId="0" applyBorder="1"/>
    <xf numFmtId="0" fontId="3" fillId="3" borderId="22" xfId="2" applyBorder="1"/>
    <xf numFmtId="0" fontId="11" fillId="4" borderId="4" xfId="5" applyFont="1" applyAlignment="1">
      <alignment horizontal="center" vertical="center" wrapText="1"/>
    </xf>
    <xf numFmtId="0" fontId="11" fillId="4" borderId="23" xfId="5" applyFont="1" applyBorder="1" applyAlignment="1">
      <alignment horizontal="center" vertical="center" wrapText="1"/>
    </xf>
    <xf numFmtId="0" fontId="11" fillId="4" borderId="24" xfId="5" applyFont="1" applyBorder="1" applyAlignment="1">
      <alignment horizontal="center" vertical="center" wrapText="1"/>
    </xf>
    <xf numFmtId="0" fontId="11" fillId="4" borderId="25" xfId="5" applyFont="1" applyBorder="1" applyAlignment="1">
      <alignment horizontal="center" vertical="center" wrapText="1"/>
    </xf>
    <xf numFmtId="0" fontId="14" fillId="0" borderId="0" xfId="0" applyFont="1"/>
    <xf numFmtId="0" fontId="2" fillId="2" borderId="26" xfId="1" applyBorder="1"/>
    <xf numFmtId="0" fontId="2" fillId="2" borderId="21" xfId="1" applyBorder="1"/>
    <xf numFmtId="0" fontId="3" fillId="3" borderId="20" xfId="2" applyBorder="1"/>
    <xf numFmtId="0" fontId="2" fillId="2" borderId="27" xfId="1" applyBorder="1"/>
    <xf numFmtId="0" fontId="2" fillId="2" borderId="28" xfId="1" applyBorder="1"/>
    <xf numFmtId="0" fontId="2" fillId="2" borderId="29" xfId="1" applyBorder="1"/>
    <xf numFmtId="0" fontId="2" fillId="2" borderId="30" xfId="1" applyBorder="1"/>
    <xf numFmtId="0" fontId="2" fillId="2" borderId="31" xfId="1" applyBorder="1"/>
    <xf numFmtId="0" fontId="0" fillId="0" borderId="11" xfId="0" applyBorder="1"/>
    <xf numFmtId="0" fontId="0" fillId="0" borderId="8" xfId="0" applyBorder="1"/>
    <xf numFmtId="0" fontId="2" fillId="2" borderId="33" xfId="1" applyBorder="1"/>
    <xf numFmtId="0" fontId="2" fillId="2" borderId="34" xfId="1" applyBorder="1"/>
    <xf numFmtId="0" fontId="6" fillId="0" borderId="5" xfId="0" applyFont="1" applyBorder="1"/>
    <xf numFmtId="0" fontId="6" fillId="0" borderId="32" xfId="0" applyFont="1" applyBorder="1" applyAlignment="1">
      <alignment horizontal="center"/>
    </xf>
    <xf numFmtId="2" fontId="4" fillId="3" borderId="33" xfId="3" applyNumberFormat="1" applyBorder="1"/>
    <xf numFmtId="2" fontId="4" fillId="3" borderId="34" xfId="3" applyNumberFormat="1" applyBorder="1"/>
    <xf numFmtId="0" fontId="6" fillId="0" borderId="11" xfId="0" applyFont="1" applyBorder="1" applyAlignment="1">
      <alignment horizontal="center"/>
    </xf>
    <xf numFmtId="2" fontId="3" fillId="3" borderId="35" xfId="2" applyNumberFormat="1" applyBorder="1"/>
    <xf numFmtId="2" fontId="3" fillId="3" borderId="5" xfId="2" applyNumberFormat="1" applyBorder="1"/>
    <xf numFmtId="0" fontId="2" fillId="2" borderId="36" xfId="1" applyBorder="1"/>
    <xf numFmtId="2" fontId="5" fillId="0" borderId="8" xfId="4" applyNumberFormat="1" applyBorder="1"/>
    <xf numFmtId="2" fontId="3" fillId="3" borderId="37" xfId="2" applyNumberFormat="1" applyBorder="1"/>
    <xf numFmtId="0" fontId="0" fillId="0" borderId="38" xfId="0" applyBorder="1"/>
    <xf numFmtId="2" fontId="3" fillId="3" borderId="2" xfId="2" applyNumberFormat="1"/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11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21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49" fontId="0" fillId="0" borderId="0" xfId="0" quotePrefix="1" applyNumberFormat="1"/>
    <xf numFmtId="49" fontId="0" fillId="0" borderId="0" xfId="0" applyNumberFormat="1"/>
    <xf numFmtId="0" fontId="20" fillId="0" borderId="19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6" fillId="0" borderId="0" xfId="0" applyFont="1" applyAlignment="1">
      <alignment horizontal="right"/>
    </xf>
    <xf numFmtId="0" fontId="6" fillId="0" borderId="14" xfId="0" applyFont="1" applyBorder="1" applyAlignment="1">
      <alignment horizontal="right"/>
    </xf>
    <xf numFmtId="0" fontId="10" fillId="0" borderId="13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6">
    <cellStyle name="Calculation" xfId="3" builtinId="22"/>
    <cellStyle name="Input" xfId="1" builtinId="20"/>
    <cellStyle name="Linked Cell" xfId="4" builtinId="24"/>
    <cellStyle name="Normal" xfId="0" builtinId="0"/>
    <cellStyle name="Note" xfId="5" builtinId="10"/>
    <cellStyle name="Output" xfId="2" builtinId="21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177800</xdr:colOff>
      <xdr:row>11</xdr:row>
      <xdr:rowOff>190067</xdr:rowOff>
    </xdr:from>
    <xdr:to>
      <xdr:col>8</xdr:col>
      <xdr:colOff>260350</xdr:colOff>
      <xdr:row>14</xdr:row>
      <xdr:rowOff>146051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26A2104-B841-CE8D-8BE2-484E1231C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565650" y="2228417"/>
          <a:ext cx="1390650" cy="521134"/>
        </a:xfrm>
        <a:prstGeom prst="rect">
          <a:avLst/>
        </a:prstGeom>
      </xdr:spPr>
    </xdr:pic>
    <xdr:clientData/>
  </xdr:twoCellAnchor>
  <xdr:twoCellAnchor editAs="oneCell">
    <xdr:from>
      <xdr:col>4</xdr:col>
      <xdr:colOff>715574</xdr:colOff>
      <xdr:row>12</xdr:row>
      <xdr:rowOff>6350</xdr:rowOff>
    </xdr:from>
    <xdr:to>
      <xdr:col>5</xdr:col>
      <xdr:colOff>316399</xdr:colOff>
      <xdr:row>15</xdr:row>
      <xdr:rowOff>171450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DFC936C-8CA7-28E3-51E1-12603492E5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728" r="2532" b="12962"/>
        <a:stretch>
          <a:fillRect/>
        </a:stretch>
      </xdr:blipFill>
      <xdr:spPr bwMode="auto">
        <a:xfrm>
          <a:off x="3725474" y="2235200"/>
          <a:ext cx="324725" cy="730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0</xdr:row>
      <xdr:rowOff>0</xdr:rowOff>
    </xdr:from>
    <xdr:to>
      <xdr:col>9</xdr:col>
      <xdr:colOff>38414</xdr:colOff>
      <xdr:row>5</xdr:row>
      <xdr:rowOff>169814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F695E-DE0F-7E88-85DD-930188284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178300" y="0"/>
          <a:ext cx="1048064" cy="1096914"/>
        </a:xfrm>
        <a:prstGeom prst="rect">
          <a:avLst/>
        </a:prstGeom>
      </xdr:spPr>
    </xdr:pic>
    <xdr:clientData/>
  </xdr:twoCellAnchor>
  <xdr:twoCellAnchor editAs="oneCell">
    <xdr:from>
      <xdr:col>9</xdr:col>
      <xdr:colOff>12701</xdr:colOff>
      <xdr:row>0</xdr:row>
      <xdr:rowOff>0</xdr:rowOff>
    </xdr:from>
    <xdr:to>
      <xdr:col>14</xdr:col>
      <xdr:colOff>230521</xdr:colOff>
      <xdr:row>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AB7523-A6A6-3D5F-578F-158FC522B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200651" y="0"/>
          <a:ext cx="1075070" cy="10668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1D3C-06C1-4AD4-BBC2-AE1D9E819C78}">
  <dimension ref="A1:M30"/>
  <sheetViews>
    <sheetView zoomScaleNormal="100" workbookViewId="0">
      <selection activeCell="D14" sqref="D14"/>
    </sheetView>
  </sheetViews>
  <sheetFormatPr defaultRowHeight="15" x14ac:dyDescent="0.25"/>
  <cols>
    <col min="1" max="1" width="12.85546875" style="1" bestFit="1" customWidth="1"/>
    <col min="2" max="3" width="10.42578125" bestFit="1" customWidth="1"/>
    <col min="4" max="4" width="9.42578125" bestFit="1" customWidth="1"/>
    <col min="5" max="5" width="10.42578125" bestFit="1" customWidth="1"/>
    <col min="6" max="9" width="9.42578125" bestFit="1" customWidth="1"/>
    <col min="10" max="10" width="11.140625" bestFit="1" customWidth="1"/>
  </cols>
  <sheetData>
    <row r="1" spans="1:13" s="2" customFormat="1" x14ac:dyDescent="0.25">
      <c r="A1" s="20"/>
      <c r="B1" s="52" t="s">
        <v>0</v>
      </c>
      <c r="C1" s="52" t="s">
        <v>1</v>
      </c>
      <c r="D1" s="52" t="s">
        <v>2</v>
      </c>
      <c r="E1" s="52" t="s">
        <v>3</v>
      </c>
      <c r="F1" s="52" t="s">
        <v>4</v>
      </c>
      <c r="G1" s="52" t="s">
        <v>5</v>
      </c>
      <c r="H1" s="52" t="s">
        <v>6</v>
      </c>
      <c r="I1" s="52" t="s">
        <v>7</v>
      </c>
      <c r="J1" s="55" t="s">
        <v>29</v>
      </c>
    </row>
    <row r="2" spans="1:13" x14ac:dyDescent="0.25">
      <c r="A2" s="21" t="s">
        <v>80</v>
      </c>
      <c r="B2" s="49">
        <v>50</v>
      </c>
      <c r="C2" s="49">
        <v>50</v>
      </c>
      <c r="D2" s="49">
        <v>63</v>
      </c>
      <c r="E2" s="49">
        <v>90</v>
      </c>
      <c r="F2" s="49"/>
      <c r="G2" s="49"/>
      <c r="H2" s="49"/>
      <c r="I2" s="49"/>
      <c r="J2" s="48"/>
      <c r="K2" s="73" t="s">
        <v>91</v>
      </c>
      <c r="L2" s="74"/>
      <c r="M2" s="74"/>
    </row>
    <row r="3" spans="1:13" x14ac:dyDescent="0.25">
      <c r="A3" s="21" t="s">
        <v>81</v>
      </c>
      <c r="B3" s="49">
        <v>250</v>
      </c>
      <c r="C3" s="49">
        <v>200</v>
      </c>
      <c r="D3" s="49">
        <v>100</v>
      </c>
      <c r="E3" s="49">
        <v>120</v>
      </c>
      <c r="F3" s="49"/>
      <c r="G3" s="49"/>
      <c r="H3" s="49"/>
      <c r="I3" s="49"/>
      <c r="J3" s="48"/>
      <c r="K3" s="73"/>
      <c r="L3" s="74"/>
      <c r="M3" s="74"/>
    </row>
    <row r="4" spans="1:13" x14ac:dyDescent="0.25">
      <c r="A4" s="21" t="s">
        <v>82</v>
      </c>
      <c r="B4" s="49">
        <v>500</v>
      </c>
      <c r="C4" s="49">
        <v>400</v>
      </c>
      <c r="D4" s="49">
        <v>350</v>
      </c>
      <c r="E4" s="49">
        <v>150</v>
      </c>
      <c r="F4" s="49"/>
      <c r="G4" s="49"/>
      <c r="H4" s="49"/>
      <c r="I4" s="49"/>
      <c r="J4" s="48"/>
      <c r="K4" s="73"/>
      <c r="L4" s="74"/>
      <c r="M4" s="74"/>
    </row>
    <row r="5" spans="1:13" x14ac:dyDescent="0.25">
      <c r="A5" s="21" t="s">
        <v>83</v>
      </c>
      <c r="B5" s="53">
        <f>(B3^2-B2^2)/4*B4/10^6</f>
        <v>7.5</v>
      </c>
      <c r="C5" s="53">
        <f t="shared" ref="C5:I5" si="0">(C3^2-C2^2)/4*C4/10^6</f>
        <v>3.75</v>
      </c>
      <c r="D5" s="53">
        <f t="shared" si="0"/>
        <v>0.52771250000000003</v>
      </c>
      <c r="E5" s="53">
        <f t="shared" si="0"/>
        <v>0.23624999999999999</v>
      </c>
      <c r="F5" s="53">
        <f t="shared" si="0"/>
        <v>0</v>
      </c>
      <c r="G5" s="53">
        <f t="shared" si="0"/>
        <v>0</v>
      </c>
      <c r="H5" s="53">
        <f t="shared" si="0"/>
        <v>0</v>
      </c>
      <c r="I5" s="53">
        <f t="shared" si="0"/>
        <v>0</v>
      </c>
      <c r="J5" s="48"/>
      <c r="K5" s="73"/>
      <c r="L5" s="74"/>
      <c r="M5" s="74"/>
    </row>
    <row r="6" spans="1:13" x14ac:dyDescent="0.25">
      <c r="A6" s="21" t="s">
        <v>89</v>
      </c>
      <c r="B6" s="49">
        <v>2</v>
      </c>
      <c r="C6" s="49">
        <v>2</v>
      </c>
      <c r="D6" s="49">
        <v>4</v>
      </c>
      <c r="E6" s="49">
        <v>4</v>
      </c>
      <c r="F6" s="49"/>
      <c r="G6" s="49"/>
      <c r="H6" s="49"/>
      <c r="I6" s="49"/>
      <c r="J6" s="48"/>
      <c r="K6" s="73"/>
      <c r="L6" s="74"/>
      <c r="M6" s="74"/>
    </row>
    <row r="7" spans="1:13" s="4" customFormat="1" x14ac:dyDescent="0.25">
      <c r="A7" s="22" t="s">
        <v>84</v>
      </c>
      <c r="B7" s="53">
        <f>B6*B5</f>
        <v>15</v>
      </c>
      <c r="C7" s="53">
        <f t="shared" ref="C7:I7" si="1">C6*C5</f>
        <v>7.5</v>
      </c>
      <c r="D7" s="53">
        <f t="shared" si="1"/>
        <v>2.1108500000000001</v>
      </c>
      <c r="E7" s="53">
        <f t="shared" si="1"/>
        <v>0.94499999999999995</v>
      </c>
      <c r="F7" s="53">
        <f t="shared" si="1"/>
        <v>0</v>
      </c>
      <c r="G7" s="53">
        <f t="shared" si="1"/>
        <v>0</v>
      </c>
      <c r="H7" s="53">
        <f t="shared" si="1"/>
        <v>0</v>
      </c>
      <c r="I7" s="53">
        <f t="shared" si="1"/>
        <v>0</v>
      </c>
      <c r="J7" s="56">
        <f>SUM(B7:I7)</f>
        <v>25.55585</v>
      </c>
      <c r="K7" s="73"/>
      <c r="L7" s="74"/>
      <c r="M7" s="74"/>
    </row>
    <row r="8" spans="1:13" ht="15.75" thickBot="1" x14ac:dyDescent="0.3">
      <c r="A8" s="25" t="s">
        <v>17</v>
      </c>
      <c r="B8" s="54">
        <f>B3^2*PI()/4*B4/10^6</f>
        <v>24.543692606170261</v>
      </c>
      <c r="C8" s="54">
        <f t="shared" ref="C8:I8" si="2">C3^2*PI()/4*C4/10^6</f>
        <v>12.566370614359172</v>
      </c>
      <c r="D8" s="54">
        <f t="shared" si="2"/>
        <v>2.748893571891069</v>
      </c>
      <c r="E8" s="54">
        <f t="shared" si="2"/>
        <v>1.6964600329384882</v>
      </c>
      <c r="F8" s="54">
        <f t="shared" si="2"/>
        <v>0</v>
      </c>
      <c r="G8" s="54">
        <f t="shared" si="2"/>
        <v>0</v>
      </c>
      <c r="H8" s="54">
        <f t="shared" si="2"/>
        <v>0</v>
      </c>
      <c r="I8" s="54">
        <f t="shared" si="2"/>
        <v>0</v>
      </c>
      <c r="J8" s="60">
        <f>SUM(B8:I8)</f>
        <v>41.555416825358989</v>
      </c>
      <c r="K8" s="73"/>
      <c r="L8" s="74"/>
      <c r="M8" s="74"/>
    </row>
    <row r="9" spans="1:13" ht="15.75" thickBot="1" x14ac:dyDescent="0.3">
      <c r="A9" s="21"/>
      <c r="J9" s="48"/>
      <c r="K9" s="73"/>
      <c r="L9" s="74"/>
      <c r="M9" s="74"/>
    </row>
    <row r="10" spans="1:13" s="1" customFormat="1" x14ac:dyDescent="0.25">
      <c r="A10" s="26"/>
      <c r="B10" s="52" t="s">
        <v>8</v>
      </c>
      <c r="C10" s="52" t="s">
        <v>9</v>
      </c>
      <c r="D10" s="52" t="s">
        <v>10</v>
      </c>
      <c r="E10" s="52" t="s">
        <v>11</v>
      </c>
      <c r="F10" s="52" t="s">
        <v>12</v>
      </c>
      <c r="G10" s="52" t="s">
        <v>13</v>
      </c>
      <c r="H10" s="52" t="s">
        <v>14</v>
      </c>
      <c r="I10" s="52" t="s">
        <v>15</v>
      </c>
      <c r="J10" s="61"/>
      <c r="K10" s="73"/>
      <c r="L10" s="74"/>
      <c r="M10" s="74"/>
    </row>
    <row r="11" spans="1:13" x14ac:dyDescent="0.25">
      <c r="A11" s="21" t="s">
        <v>16</v>
      </c>
      <c r="B11" s="49">
        <v>7</v>
      </c>
      <c r="C11" s="49"/>
      <c r="D11" s="49"/>
      <c r="E11" s="49"/>
      <c r="F11" s="49"/>
      <c r="G11" s="49"/>
      <c r="H11" s="49"/>
      <c r="I11" s="49"/>
      <c r="J11" s="56">
        <f>SUM(B11:I11)</f>
        <v>7</v>
      </c>
      <c r="K11" s="73"/>
      <c r="L11" s="74"/>
      <c r="M11" s="74"/>
    </row>
    <row r="12" spans="1:13" s="4" customFormat="1" ht="15.75" thickBot="1" x14ac:dyDescent="0.3">
      <c r="A12" s="27" t="s">
        <v>17</v>
      </c>
      <c r="B12" s="50">
        <v>5</v>
      </c>
      <c r="C12" s="50"/>
      <c r="D12" s="50"/>
      <c r="E12" s="50"/>
      <c r="F12" s="50"/>
      <c r="G12" s="50"/>
      <c r="H12" s="50"/>
      <c r="I12" s="50"/>
      <c r="J12" s="60">
        <f>SUM(B12:I12)</f>
        <v>5</v>
      </c>
      <c r="K12" s="73"/>
      <c r="L12" s="74"/>
      <c r="M12" s="74"/>
    </row>
    <row r="13" spans="1:13" ht="15.75" thickBot="1" x14ac:dyDescent="0.3">
      <c r="A13" s="21"/>
      <c r="J13" s="48"/>
      <c r="K13" s="73"/>
      <c r="L13" s="74"/>
      <c r="M13" s="74"/>
    </row>
    <row r="14" spans="1:13" x14ac:dyDescent="0.25">
      <c r="A14" s="26" t="s">
        <v>18</v>
      </c>
      <c r="B14" s="28">
        <f>J8*1.5</f>
        <v>62.333125238038484</v>
      </c>
      <c r="E14" s="3"/>
      <c r="J14" s="48"/>
      <c r="K14" s="73"/>
      <c r="L14" s="74"/>
      <c r="M14" s="74"/>
    </row>
    <row r="15" spans="1:13" s="4" customFormat="1" ht="15.75" thickBot="1" x14ac:dyDescent="0.3">
      <c r="A15" s="27" t="s">
        <v>19</v>
      </c>
      <c r="B15" s="62">
        <f>B14*0.1</f>
        <v>6.2333125238038489</v>
      </c>
      <c r="E15"/>
      <c r="J15" s="48"/>
    </row>
    <row r="16" spans="1:13" s="5" customFormat="1" ht="16.5" thickBot="1" x14ac:dyDescent="0.3">
      <c r="A16" s="23"/>
      <c r="B16" s="24"/>
      <c r="C16" s="24"/>
      <c r="D16" s="24"/>
      <c r="E16" s="24"/>
      <c r="F16" s="24"/>
      <c r="G16" s="78" t="s">
        <v>85</v>
      </c>
      <c r="H16" s="79"/>
      <c r="I16" s="79"/>
      <c r="J16" s="57">
        <f>J12+J7+B15</f>
        <v>36.789162523803846</v>
      </c>
    </row>
    <row r="17" spans="1:13" ht="15.75" thickBot="1" x14ac:dyDescent="0.3">
      <c r="A17" s="21"/>
      <c r="H17" s="30"/>
      <c r="I17" s="30"/>
      <c r="J17" s="48"/>
    </row>
    <row r="18" spans="1:13" ht="32.25" thickBot="1" x14ac:dyDescent="0.3">
      <c r="A18" s="29"/>
      <c r="B18" s="6" t="s">
        <v>20</v>
      </c>
      <c r="C18" s="7" t="s">
        <v>21</v>
      </c>
      <c r="D18" s="7" t="s">
        <v>22</v>
      </c>
      <c r="E18" s="7" t="s">
        <v>23</v>
      </c>
      <c r="F18" s="7" t="s">
        <v>24</v>
      </c>
      <c r="G18" s="32"/>
      <c r="J18" s="48"/>
    </row>
    <row r="19" spans="1:13" x14ac:dyDescent="0.25">
      <c r="A19" s="65" t="s">
        <v>74</v>
      </c>
      <c r="B19" s="34">
        <v>15</v>
      </c>
      <c r="C19" s="34">
        <v>35</v>
      </c>
      <c r="D19" s="34">
        <v>35</v>
      </c>
      <c r="E19" s="34">
        <v>40</v>
      </c>
      <c r="F19" s="35">
        <v>70</v>
      </c>
      <c r="J19" s="48"/>
    </row>
    <row r="20" spans="1:13" ht="30.75" thickBot="1" x14ac:dyDescent="0.3">
      <c r="A20" s="66" t="s">
        <v>75</v>
      </c>
      <c r="B20" s="34">
        <v>2.5</v>
      </c>
      <c r="C20" s="34">
        <v>6.7</v>
      </c>
      <c r="D20" s="34">
        <v>4.5</v>
      </c>
      <c r="E20" s="34">
        <v>15</v>
      </c>
      <c r="F20" s="35">
        <v>26.1</v>
      </c>
      <c r="J20" s="48"/>
    </row>
    <row r="21" spans="1:13" ht="15.75" thickBot="1" x14ac:dyDescent="0.3">
      <c r="A21" s="66" t="s">
        <v>76</v>
      </c>
      <c r="B21" s="36" t="s">
        <v>34</v>
      </c>
      <c r="C21" s="36" t="s">
        <v>34</v>
      </c>
      <c r="D21" s="36" t="s">
        <v>35</v>
      </c>
      <c r="E21" s="36" t="s">
        <v>36</v>
      </c>
      <c r="F21" s="37" t="s">
        <v>37</v>
      </c>
      <c r="J21" s="48"/>
    </row>
    <row r="22" spans="1:13" ht="15.75" thickBot="1" x14ac:dyDescent="0.3">
      <c r="A22" s="26" t="s">
        <v>77</v>
      </c>
      <c r="B22" s="39"/>
      <c r="C22" s="39"/>
      <c r="D22" s="39"/>
      <c r="E22" s="39">
        <v>0</v>
      </c>
      <c r="F22" s="40">
        <v>0</v>
      </c>
      <c r="G22" s="76"/>
      <c r="H22" s="76"/>
      <c r="I22" s="76"/>
      <c r="J22" s="59"/>
    </row>
    <row r="23" spans="1:13" ht="15.75" thickBot="1" x14ac:dyDescent="0.3">
      <c r="A23" s="25" t="s">
        <v>73</v>
      </c>
      <c r="B23" s="33">
        <f>B22*B20</f>
        <v>0</v>
      </c>
      <c r="C23" s="33">
        <f>C22*C20</f>
        <v>0</v>
      </c>
      <c r="D23" s="33">
        <f>D22*D20</f>
        <v>0</v>
      </c>
      <c r="E23" s="33">
        <f>E22*E20</f>
        <v>0</v>
      </c>
      <c r="F23" s="41">
        <f>F22*F20</f>
        <v>0</v>
      </c>
      <c r="G23" s="77" t="s">
        <v>86</v>
      </c>
      <c r="H23" s="77"/>
      <c r="I23" s="77"/>
      <c r="J23" s="51">
        <f>SUM(B23:F23)</f>
        <v>0</v>
      </c>
    </row>
    <row r="24" spans="1:13" x14ac:dyDescent="0.25">
      <c r="A24" s="67" t="s">
        <v>90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</row>
    <row r="25" spans="1:13" ht="14.45" customHeight="1" x14ac:dyDescent="0.25">
      <c r="A25" s="69" t="s">
        <v>92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</row>
    <row r="26" spans="1:13" x14ac:dyDescent="0.25">
      <c r="A26" s="75" t="s">
        <v>93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</row>
    <row r="27" spans="1:13" x14ac:dyDescent="0.2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</row>
    <row r="28" spans="1:13" x14ac:dyDescent="0.25">
      <c r="A28" s="75" t="s">
        <v>94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</row>
    <row r="29" spans="1:13" x14ac:dyDescent="0.2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</row>
    <row r="30" spans="1:13" x14ac:dyDescent="0.25">
      <c r="A30" s="69" t="s">
        <v>95</v>
      </c>
    </row>
  </sheetData>
  <mergeCells count="6">
    <mergeCell ref="K2:M14"/>
    <mergeCell ref="A26:M27"/>
    <mergeCell ref="A28:M29"/>
    <mergeCell ref="G22:I22"/>
    <mergeCell ref="G23:I23"/>
    <mergeCell ref="G16:I16"/>
  </mergeCells>
  <phoneticPr fontId="7" type="noConversion"/>
  <conditionalFormatting sqref="J23">
    <cfRule type="expression" dxfId="1" priority="5">
      <formula>$J$16&gt;$J$23</formula>
    </cfRule>
    <cfRule type="expression" dxfId="0" priority="6">
      <formula>$J$23&gt;$J$16</formula>
    </cfRule>
  </conditionalFormatting>
  <dataValidations disablePrompts="1" count="1">
    <dataValidation type="list" allowBlank="1" showInputMessage="1" showErrorMessage="1" sqref="B22:F22" xr:uid="{0CE7159B-8C9F-44AD-932B-93CF57579E0F}">
      <formula1>"0,1,2,3,4"</formula1>
    </dataValidation>
  </dataValidation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6029-F415-4DB8-8990-F1003A273C8B}">
  <dimension ref="A1:O14"/>
  <sheetViews>
    <sheetView tabSelected="1" workbookViewId="0">
      <selection activeCell="B3" sqref="B3"/>
    </sheetView>
  </sheetViews>
  <sheetFormatPr defaultRowHeight="15" x14ac:dyDescent="0.25"/>
  <cols>
    <col min="1" max="1" width="20.28515625" bestFit="1" customWidth="1"/>
    <col min="2" max="3" width="18.42578125" customWidth="1"/>
    <col min="5" max="14" width="2.42578125" customWidth="1"/>
  </cols>
  <sheetData>
    <row r="1" spans="1:15" x14ac:dyDescent="0.25">
      <c r="A1" s="47" t="s">
        <v>87</v>
      </c>
      <c r="B1" s="63" t="s">
        <v>78</v>
      </c>
      <c r="C1" s="64" t="s">
        <v>79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1"/>
    </row>
    <row r="2" spans="1:15" x14ac:dyDescent="0.25">
      <c r="A2" s="48">
        <v>1</v>
      </c>
      <c r="B2" s="45" t="s">
        <v>98</v>
      </c>
      <c r="C2" s="42" t="s">
        <v>97</v>
      </c>
      <c r="F2" s="38">
        <v>1</v>
      </c>
      <c r="L2" s="38">
        <v>1</v>
      </c>
      <c r="O2" s="19"/>
    </row>
    <row r="3" spans="1:15" x14ac:dyDescent="0.25">
      <c r="A3" s="48">
        <v>2</v>
      </c>
      <c r="B3" s="45" t="s">
        <v>99</v>
      </c>
      <c r="C3" s="42" t="s">
        <v>54</v>
      </c>
      <c r="O3" s="19"/>
    </row>
    <row r="4" spans="1:15" x14ac:dyDescent="0.25">
      <c r="A4" s="48">
        <v>3</v>
      </c>
      <c r="B4" s="45"/>
      <c r="C4" s="42"/>
      <c r="E4" s="38">
        <v>2</v>
      </c>
      <c r="H4" s="38">
        <v>4</v>
      </c>
      <c r="K4" s="38">
        <v>2</v>
      </c>
      <c r="N4" s="38">
        <v>4</v>
      </c>
      <c r="O4" s="19"/>
    </row>
    <row r="5" spans="1:15" ht="15.75" thickBot="1" x14ac:dyDescent="0.3">
      <c r="A5" s="17">
        <v>4</v>
      </c>
      <c r="B5" s="46"/>
      <c r="C5" s="43"/>
      <c r="F5" s="38">
        <v>3</v>
      </c>
      <c r="L5" s="38">
        <v>3</v>
      </c>
      <c r="O5" s="19"/>
    </row>
    <row r="6" spans="1:15" x14ac:dyDescent="0.25">
      <c r="A6" s="47" t="s">
        <v>88</v>
      </c>
      <c r="B6" s="63" t="s">
        <v>78</v>
      </c>
      <c r="C6" s="64" t="s">
        <v>79</v>
      </c>
      <c r="O6" s="19"/>
    </row>
    <row r="7" spans="1:15" x14ac:dyDescent="0.25">
      <c r="A7" s="48">
        <v>1</v>
      </c>
      <c r="B7" s="45"/>
      <c r="C7" s="42"/>
      <c r="E7" s="80" t="s">
        <v>49</v>
      </c>
      <c r="F7" s="80"/>
      <c r="G7" s="80"/>
      <c r="H7" s="80"/>
      <c r="K7" s="81" t="s">
        <v>50</v>
      </c>
      <c r="L7" s="81"/>
      <c r="M7" s="81"/>
      <c r="N7" s="81"/>
      <c r="O7" s="19"/>
    </row>
    <row r="8" spans="1:15" x14ac:dyDescent="0.25">
      <c r="A8" s="48">
        <v>2</v>
      </c>
      <c r="B8" s="45"/>
      <c r="C8" s="42"/>
      <c r="O8" s="19"/>
    </row>
    <row r="9" spans="1:15" x14ac:dyDescent="0.25">
      <c r="A9" s="48">
        <v>3</v>
      </c>
      <c r="B9" s="45"/>
      <c r="C9" s="42"/>
      <c r="O9" s="19"/>
    </row>
    <row r="10" spans="1:15" ht="15.75" thickBot="1" x14ac:dyDescent="0.3">
      <c r="A10" s="17">
        <v>4</v>
      </c>
      <c r="B10" s="46"/>
      <c r="C10" s="43"/>
      <c r="O10" s="19"/>
    </row>
    <row r="11" spans="1:15" x14ac:dyDescent="0.25">
      <c r="A11" s="47" t="s">
        <v>45</v>
      </c>
      <c r="B11" s="58"/>
      <c r="C11" s="44"/>
      <c r="O11" s="19"/>
    </row>
    <row r="12" spans="1:15" x14ac:dyDescent="0.25">
      <c r="A12" s="48" t="s">
        <v>46</v>
      </c>
      <c r="B12" s="45"/>
      <c r="C12" s="42"/>
      <c r="O12" s="19"/>
    </row>
    <row r="13" spans="1:15" x14ac:dyDescent="0.25">
      <c r="A13" s="48" t="s">
        <v>47</v>
      </c>
      <c r="B13" s="45"/>
      <c r="C13" s="42"/>
      <c r="O13" s="19"/>
    </row>
    <row r="14" spans="1:15" ht="15.75" thickBot="1" x14ac:dyDescent="0.3">
      <c r="A14" s="17" t="s">
        <v>48</v>
      </c>
      <c r="B14" s="46"/>
      <c r="C14" s="43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9"/>
    </row>
  </sheetData>
  <mergeCells count="2">
    <mergeCell ref="E7:H7"/>
    <mergeCell ref="K7:N7"/>
  </mergeCells>
  <dataValidations count="2">
    <dataValidation type="list" allowBlank="1" showInputMessage="1" showErrorMessage="1" sqref="B2:B5 B7:B10" xr:uid="{9B90464F-3439-4C24-836E-EFFC7A15D3C1}">
      <formula1>"SAE, BSPP, METRIC"</formula1>
    </dataValidation>
    <dataValidation type="list" allowBlank="1" showInputMessage="1" showErrorMessage="1" sqref="C2:C5 C7:C10" xr:uid="{A31DA7B6-590B-4825-9493-18F612FAE4C9}">
      <formula1>INDIRECT(B2)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C63C-ABBF-4D73-85EF-92E43E40FC66}">
  <dimension ref="A1:G14"/>
  <sheetViews>
    <sheetView workbookViewId="0">
      <selection activeCell="D2" sqref="D2"/>
    </sheetView>
  </sheetViews>
  <sheetFormatPr defaultRowHeight="15" x14ac:dyDescent="0.25"/>
  <cols>
    <col min="1" max="1" width="15.5703125" bestFit="1" customWidth="1"/>
    <col min="2" max="2" width="20.85546875" bestFit="1" customWidth="1"/>
    <col min="3" max="3" width="35.42578125" bestFit="1" customWidth="1"/>
    <col min="4" max="4" width="16.5703125" bestFit="1" customWidth="1"/>
    <col min="5" max="5" width="16.42578125" bestFit="1" customWidth="1"/>
  </cols>
  <sheetData>
    <row r="1" spans="1:7" x14ac:dyDescent="0.25">
      <c r="A1" s="8" t="s">
        <v>53</v>
      </c>
      <c r="B1" t="s">
        <v>51</v>
      </c>
      <c r="C1" s="8" t="s">
        <v>52</v>
      </c>
      <c r="D1" t="s">
        <v>68</v>
      </c>
      <c r="E1" t="s">
        <v>69</v>
      </c>
      <c r="F1" t="s">
        <v>67</v>
      </c>
      <c r="G1" t="s">
        <v>70</v>
      </c>
    </row>
    <row r="2" spans="1:7" x14ac:dyDescent="0.25">
      <c r="A2" s="71" t="s">
        <v>97</v>
      </c>
      <c r="B2" t="s">
        <v>54</v>
      </c>
      <c r="C2" t="s">
        <v>58</v>
      </c>
      <c r="G2" t="s">
        <v>71</v>
      </c>
    </row>
    <row r="3" spans="1:7" x14ac:dyDescent="0.25">
      <c r="A3" s="72">
        <v>-6</v>
      </c>
      <c r="B3" t="s">
        <v>96</v>
      </c>
      <c r="C3" t="s">
        <v>59</v>
      </c>
      <c r="G3" t="s">
        <v>72</v>
      </c>
    </row>
    <row r="4" spans="1:7" x14ac:dyDescent="0.25">
      <c r="A4" s="72">
        <v>-10</v>
      </c>
      <c r="B4" t="s">
        <v>55</v>
      </c>
      <c r="C4" t="s">
        <v>60</v>
      </c>
    </row>
    <row r="5" spans="1:7" x14ac:dyDescent="0.25">
      <c r="A5" s="72">
        <v>-12</v>
      </c>
      <c r="B5" t="s">
        <v>56</v>
      </c>
      <c r="C5" t="s">
        <v>61</v>
      </c>
    </row>
    <row r="6" spans="1:7" x14ac:dyDescent="0.25">
      <c r="A6" s="72">
        <v>-16</v>
      </c>
      <c r="B6" t="s">
        <v>57</v>
      </c>
      <c r="C6" t="s">
        <v>62</v>
      </c>
    </row>
    <row r="7" spans="1:7" x14ac:dyDescent="0.25">
      <c r="C7" t="s">
        <v>63</v>
      </c>
    </row>
    <row r="8" spans="1:7" x14ac:dyDescent="0.25">
      <c r="C8" t="s">
        <v>64</v>
      </c>
    </row>
    <row r="9" spans="1:7" x14ac:dyDescent="0.25">
      <c r="C9" t="s">
        <v>65</v>
      </c>
    </row>
    <row r="10" spans="1:7" x14ac:dyDescent="0.25">
      <c r="C10" t="s">
        <v>66</v>
      </c>
    </row>
    <row r="13" spans="1:7" ht="16.5" thickBot="1" x14ac:dyDescent="0.3">
      <c r="A13" s="16" t="s">
        <v>20</v>
      </c>
      <c r="B13" s="16" t="s">
        <v>21</v>
      </c>
      <c r="C13" s="16" t="s">
        <v>22</v>
      </c>
      <c r="D13" s="16" t="s">
        <v>23</v>
      </c>
      <c r="E13" s="16" t="s">
        <v>24</v>
      </c>
    </row>
    <row r="14" spans="1:7" ht="15.75" thickBot="1" x14ac:dyDescent="0.3">
      <c r="A14" s="10" t="s">
        <v>25</v>
      </c>
      <c r="B14" s="10" t="s">
        <v>26</v>
      </c>
      <c r="C14" s="10" t="s">
        <v>27</v>
      </c>
      <c r="D14" s="10">
        <v>15</v>
      </c>
      <c r="E14" s="10" t="s">
        <v>28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6768-2475-4D13-93D0-333880E09EA4}">
  <dimension ref="A1:F10"/>
  <sheetViews>
    <sheetView workbookViewId="0">
      <selection activeCell="D12" sqref="D12"/>
    </sheetView>
  </sheetViews>
  <sheetFormatPr defaultRowHeight="15" x14ac:dyDescent="0.25"/>
  <cols>
    <col min="1" max="1" width="23.28515625" customWidth="1"/>
    <col min="2" max="6" width="15.85546875" customWidth="1"/>
  </cols>
  <sheetData>
    <row r="1" spans="1:6" ht="15.75" thickBot="1" x14ac:dyDescent="0.3">
      <c r="A1" s="11" t="e" vm="1">
        <v>#VALUE!</v>
      </c>
      <c r="B1" s="12"/>
      <c r="C1" s="13" t="e" vm="2">
        <v>#VALUE!</v>
      </c>
      <c r="D1" s="13" t="e" vm="3">
        <v>#VALUE!</v>
      </c>
      <c r="E1" s="14" t="s">
        <v>30</v>
      </c>
      <c r="F1" s="14" t="s">
        <v>30</v>
      </c>
    </row>
    <row r="2" spans="1:6" ht="16.5" thickBot="1" x14ac:dyDescent="0.3">
      <c r="A2" s="15"/>
      <c r="B2" s="16" t="s">
        <v>20</v>
      </c>
      <c r="C2" s="16" t="s">
        <v>21</v>
      </c>
      <c r="D2" s="16" t="s">
        <v>22</v>
      </c>
      <c r="E2" s="16" t="s">
        <v>23</v>
      </c>
      <c r="F2" s="16" t="s">
        <v>24</v>
      </c>
    </row>
    <row r="3" spans="1:6" x14ac:dyDescent="0.25">
      <c r="A3" s="85" t="s">
        <v>31</v>
      </c>
      <c r="B3" s="87">
        <v>15</v>
      </c>
      <c r="C3" s="87">
        <v>35</v>
      </c>
      <c r="D3" s="87">
        <v>35</v>
      </c>
      <c r="E3" s="87">
        <v>40</v>
      </c>
      <c r="F3" s="87">
        <v>70</v>
      </c>
    </row>
    <row r="4" spans="1:6" ht="15.75" thickBot="1" x14ac:dyDescent="0.3">
      <c r="A4" s="86"/>
      <c r="B4" s="88"/>
      <c r="C4" s="88"/>
      <c r="D4" s="88"/>
      <c r="E4" s="88"/>
      <c r="F4" s="88"/>
    </row>
    <row r="5" spans="1:6" ht="32.25" thickBot="1" x14ac:dyDescent="0.3">
      <c r="A5" s="15" t="s">
        <v>32</v>
      </c>
      <c r="B5" s="10" t="s">
        <v>25</v>
      </c>
      <c r="C5" s="10" t="s">
        <v>26</v>
      </c>
      <c r="D5" s="10" t="s">
        <v>27</v>
      </c>
      <c r="E5" s="10">
        <v>15</v>
      </c>
      <c r="F5" s="10" t="s">
        <v>28</v>
      </c>
    </row>
    <row r="6" spans="1:6" ht="32.25" thickBot="1" x14ac:dyDescent="0.3">
      <c r="A6" s="15" t="s">
        <v>33</v>
      </c>
      <c r="B6" s="10" t="s">
        <v>34</v>
      </c>
      <c r="C6" s="10" t="s">
        <v>34</v>
      </c>
      <c r="D6" s="10" t="s">
        <v>35</v>
      </c>
      <c r="E6" s="10" t="s">
        <v>36</v>
      </c>
      <c r="F6" s="10" t="s">
        <v>37</v>
      </c>
    </row>
    <row r="7" spans="1:6" ht="16.5" thickBot="1" x14ac:dyDescent="0.3">
      <c r="A7" s="15" t="s">
        <v>38</v>
      </c>
      <c r="B7" s="82" t="s">
        <v>39</v>
      </c>
      <c r="C7" s="83"/>
      <c r="D7" s="83"/>
      <c r="E7" s="83"/>
      <c r="F7" s="84"/>
    </row>
    <row r="8" spans="1:6" ht="32.25" thickBot="1" x14ac:dyDescent="0.3">
      <c r="A8" s="15" t="s">
        <v>40</v>
      </c>
      <c r="B8" s="82" t="s">
        <v>41</v>
      </c>
      <c r="C8" s="83"/>
      <c r="D8" s="83"/>
      <c r="E8" s="83"/>
      <c r="F8" s="84"/>
    </row>
    <row r="9" spans="1:6" ht="16.5" thickBot="1" x14ac:dyDescent="0.3">
      <c r="A9" s="15" t="s">
        <v>42</v>
      </c>
      <c r="B9" s="82">
        <v>16</v>
      </c>
      <c r="C9" s="83"/>
      <c r="D9" s="83"/>
      <c r="E9" s="84"/>
      <c r="F9" s="10">
        <v>10</v>
      </c>
    </row>
    <row r="10" spans="1:6" ht="16.5" thickBot="1" x14ac:dyDescent="0.3">
      <c r="A10" s="15" t="s">
        <v>43</v>
      </c>
      <c r="B10" s="82" t="s">
        <v>44</v>
      </c>
      <c r="C10" s="83"/>
      <c r="D10" s="83"/>
      <c r="E10" s="83"/>
      <c r="F10" s="84"/>
    </row>
  </sheetData>
  <mergeCells count="10">
    <mergeCell ref="B7:F7"/>
    <mergeCell ref="B8:F8"/>
    <mergeCell ref="B9:E9"/>
    <mergeCell ref="B10:F10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Metric</vt:lpstr>
      <vt:lpstr>Configuration</vt:lpstr>
      <vt:lpstr>Lists</vt:lpstr>
      <vt:lpstr>Catalog</vt:lpstr>
      <vt:lpstr>BSPP</vt:lpstr>
      <vt:lpstr>METRIC</vt:lpstr>
      <vt:lpstr>SAE</vt:lpstr>
      <vt:lpstr>TOTAL_V_DIFF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Semih ATABEY</dc:creator>
  <cp:lastModifiedBy>Semih ATABEY</cp:lastModifiedBy>
  <cp:lastPrinted>2026-03-25T16:08:37Z</cp:lastPrinted>
  <dcterms:created xsi:type="dcterms:W3CDTF">2026-03-24T14:41:25Z</dcterms:created>
  <dcterms:modified xsi:type="dcterms:W3CDTF">2026-03-28T22:51:53Z</dcterms:modified>
</cp:coreProperties>
</file>